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indicadores" sheetId="1" state="visible" r:id="rId3"/>
  </sheets>
  <definedNames>
    <definedName function="false" hidden="true" localSheetId="0" name="_xlnm._FilterDatabase" vbProcedure="false">'Matriz de indicadores'!$A$4:$P$40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<sst xmlns="http://schemas.openxmlformats.org/spreadsheetml/2006/main" count="593" uniqueCount="409">
  <si>
    <t xml:space="preserve">Matriz de indicadores · Mesa de Ayuda GLPI (PAE / MIDIS)</t>
  </si>
  <si>
    <t xml:space="preserve">ID</t>
  </si>
  <si>
    <t xml:space="preserve">Bloque</t>
  </si>
  <si>
    <t xml:space="preserve">Indicador</t>
  </si>
  <si>
    <t xml:space="preserve">Definición / cálculo</t>
  </si>
  <si>
    <t xml:space="preserve">Decisión que apoya</t>
  </si>
  <si>
    <t xml:space="preserve">Prioridad</t>
  </si>
  <si>
    <t xml:space="preserve">Nivel de decisión</t>
  </si>
  <si>
    <t xml:space="preserve">Fase de implementación</t>
  </si>
  <si>
    <t xml:space="preserve">En el tablero HTML</t>
  </si>
  <si>
    <t xml:space="preserve">Campos GLPI / CSV</t>
  </si>
  <si>
    <t xml:space="preserve">Visual sugerida</t>
  </si>
  <si>
    <t xml:space="preserve">Frecuencia</t>
  </si>
  <si>
    <t xml:space="preserve">Umbral / alerta sugerida (a validar)</t>
  </si>
  <si>
    <t xml:space="preserve">Valor de referencia (CSV)</t>
  </si>
  <si>
    <t xml:space="preserve">Origen</t>
  </si>
  <si>
    <t xml:space="preserve">Observación de datos</t>
  </si>
  <si>
    <t xml:space="preserve">D01</t>
  </si>
  <si>
    <t xml:space="preserve">Resumen ejecutivo</t>
  </si>
  <si>
    <t xml:space="preserve">Total de tickets ingresados en el periodo</t>
  </si>
  <si>
    <t xml:space="preserve">Conteo de ID únicos por Fecha de apertura (filtro de periodo, entidad, tipo).</t>
  </si>
  <si>
    <t xml:space="preserve">Dimensionar demanda y justificar capacidad del equipo.</t>
  </si>
  <si>
    <t xml:space="preserve">Alta</t>
  </si>
  <si>
    <t xml:space="preserve">Estratégico</t>
  </si>
  <si>
    <t xml:space="preserve">1 · Listo con CSV</t>
  </si>
  <si>
    <t xml:space="preserve">Sí · Flujo y tiempos</t>
  </si>
  <si>
    <t xml:space="preserve">ID; Fecha de apertura</t>
  </si>
  <si>
    <t xml:space="preserve">Tarjeta KPI + variación vs. mes anterior</t>
  </si>
  <si>
    <t xml:space="preserve">Diaria / mensual</t>
  </si>
  <si>
    <t xml:space="preserve">Variación &gt; ±20 % vs. mes previo</t>
  </si>
  <si>
    <t xml:space="preserve">11 176 tickets (06-abr a 14-oct-2026); sep-2026: 2 339 (récord)</t>
  </si>
  <si>
    <t xml:space="preserve">Matriz Excel #1</t>
  </si>
  <si>
    <t xml:space="preserve">Sin problemas de datos.</t>
  </si>
  <si>
    <t xml:space="preserve">D02</t>
  </si>
  <si>
    <t xml:space="preserve">Tickets pendientes (backlog vivo)</t>
  </si>
  <si>
    <t xml:space="preserve">Tickets con Estado ≠ Cerrado y ≠ Resuelto (En curso asignada/planificada, En espera, Nuevo). Mostrar aparte "Resueltos sin cerrar".</t>
  </si>
  <si>
    <t xml:space="preserve">Priorizar el esfuerzo diario de la mesa; es el KPI de portada.</t>
  </si>
  <si>
    <t xml:space="preserve">Crítica</t>
  </si>
  <si>
    <t xml:space="preserve">Operativo</t>
  </si>
  <si>
    <t xml:space="preserve">Sí · Resumen (portada)</t>
  </si>
  <si>
    <t xml:space="preserve">Estado; ID</t>
  </si>
  <si>
    <t xml:space="preserve">Tarjeta KPI + semáforo</t>
  </si>
  <si>
    <t xml:space="preserve">Tiempo real / diaria</t>
  </si>
  <si>
    <t xml:space="preserve">Meta: backlog ≤ 1 día de ingreso promedio (~60)</t>
  </si>
  <si>
    <t xml:space="preserve">53 pendientes + 73 resueltos aún sin cerrar</t>
  </si>
  <si>
    <t xml:space="preserve">Matriz Excel #3 · Skill reporte</t>
  </si>
  <si>
    <t xml:space="preserve">Definición del skill: todos los estados abiertos cuentan como pendientes (no separar "en espera").</t>
  </si>
  <si>
    <t xml:space="preserve">D03</t>
  </si>
  <si>
    <t xml:space="preserve">Distribución de tickets por estado (con %)</t>
  </si>
  <si>
    <t xml:space="preserve">Conteo y % por Estado: Nuevo, En curso, En espera, Resuelto, Cerrado.</t>
  </si>
  <si>
    <t xml:space="preserve">Detectar acumulación en "En espera" o "Resuelto sin cerrar".</t>
  </si>
  <si>
    <t xml:space="preserve">Media</t>
  </si>
  <si>
    <t xml:space="preserve">Táctico</t>
  </si>
  <si>
    <t xml:space="preserve">Sí · Backlog y técnicos</t>
  </si>
  <si>
    <t xml:space="preserve">Estado</t>
  </si>
  <si>
    <t xml:space="preserve">Barra apilada 100 % / dona</t>
  </si>
  <si>
    <t xml:space="preserve">Semanal</t>
  </si>
  <si>
    <t xml:space="preserve">Resueltos sin cerrar &gt; 3 días → alerta</t>
  </si>
  <si>
    <t xml:space="preserve">Cerrado 98,9 %; Resuelto 73; En curso 30; En espera 23</t>
  </si>
  <si>
    <t xml:space="preserve">Matriz Excel #2</t>
  </si>
  <si>
    <t xml:space="preserve">Incluir porcentajes y filtros (mejora pedida en matriz).</t>
  </si>
  <si>
    <t xml:space="preserve">D04</t>
  </si>
  <si>
    <t xml:space="preserve">Ingresos vs. cierres mensuales y variación neta del backlog</t>
  </si>
  <si>
    <t xml:space="preserve">Por mes: tickets abiertos (Fecha de apertura) vs. cerrados (Fecha de cierre); saldo = ingresos − cierres.</t>
  </si>
  <si>
    <t xml:space="preserve">Saber si el equipo absorbe la demanda o el backlog crece.</t>
  </si>
  <si>
    <t xml:space="preserve">Sí · Resumen (portada) y Flujo y tiempos</t>
  </si>
  <si>
    <t xml:space="preserve">Fecha de apertura; Fecha de cierre; Estado</t>
  </si>
  <si>
    <t xml:space="preserve">Columnas agrupadas + línea de saldo</t>
  </si>
  <si>
    <t xml:space="preserve">Mensual (con corte semanal)</t>
  </si>
  <si>
    <t xml:space="preserve">Saldo negativo 2 meses seguidos → revisar capacidad</t>
  </si>
  <si>
    <t xml:space="preserve">Sep-2026: 2 339 ingresos vs. 2 303 cierres (saldo +36)</t>
  </si>
  <si>
    <t xml:space="preserve">Matriz Excel #19, #24, #25</t>
  </si>
  <si>
    <t xml:space="preserve">Unifica 3 indicadores. Aclarar si el cierre cuenta Resueltos.</t>
  </si>
  <si>
    <t xml:space="preserve">D05</t>
  </si>
  <si>
    <t xml:space="preserve">Tasa de resolución/cierre del periodo</t>
  </si>
  <si>
    <t xml:space="preserve">Cerrados del periodo ÷ ingresados del periodo × 100 (y acumulada).</t>
  </si>
  <si>
    <t xml:space="preserve">Evaluar desempeño global y comparar periodos.</t>
  </si>
  <si>
    <t xml:space="preserve">Estado; Fecha de apertura; Fecha de cierre</t>
  </si>
  <si>
    <t xml:space="preserve">Tarjeta KPI + tendencia</t>
  </si>
  <si>
    <t xml:space="preserve">Mensual</t>
  </si>
  <si>
    <t xml:space="preserve">Meta ≥ 98 %</t>
  </si>
  <si>
    <t xml:space="preserve">98,9 % acumulado (11 050 / 11 176)</t>
  </si>
  <si>
    <t xml:space="preserve">Matriz Excel #5, #6</t>
  </si>
  <si>
    <t xml:space="preserve">Definir si se mide por cohorte de apertura o por cierres del mes.</t>
  </si>
  <si>
    <t xml:space="preserve">D06</t>
  </si>
  <si>
    <t xml:space="preserve">Backlog</t>
  </si>
  <si>
    <t xml:space="preserve">Pendientes por antigüedad (0–2, 3–7, 8–15, 16–30, &gt;30 días)</t>
  </si>
  <si>
    <t xml:space="preserve">Días = fecha de corte − Fecha de apertura, solo tickets pendientes.</t>
  </si>
  <si>
    <t xml:space="preserve">Decidir qué casos escalar o reasignar; ver envejecimiento del backlog.</t>
  </si>
  <si>
    <t xml:space="preserve">Sí · Resumen (portada) y Backlog</t>
  </si>
  <si>
    <t xml:space="preserve">Estado; Fecha de apertura; fecha de corte (máx. Apertura/Última modif.)</t>
  </si>
  <si>
    <t xml:space="preserve">Barras por rango (rojo &gt;7 d)</t>
  </si>
  <si>
    <t xml:space="preserve">Diaria</t>
  </si>
  <si>
    <t xml:space="preserve">&gt;7 días en rojo; &gt;30 días escalar a jefatura</t>
  </si>
  <si>
    <t xml:space="preserve">26 / 8 / 14 / 3 / 2 (total 53)</t>
  </si>
  <si>
    <t xml:space="preserve">Matriz Excel #23 · Skill reporte</t>
  </si>
  <si>
    <t xml:space="preserve">Fecha de corte = mayor entre Fecha de apertura y Última modificación (regla del skill).</t>
  </si>
  <si>
    <t xml:space="preserve">D07</t>
  </si>
  <si>
    <t xml:space="preserve">Casos con más de 7 días y antigüedad máxima</t>
  </si>
  <si>
    <t xml:space="preserve">Conteo de pendientes con antigüedad &gt; 7 d; MAX(antigüedad).</t>
  </si>
  <si>
    <t xml:space="preserve">Indicador de alerta de la mesa; meta común de cierre semanal.</t>
  </si>
  <si>
    <t xml:space="preserve">Estado; Fecha de apertura</t>
  </si>
  <si>
    <t xml:space="preserve">2 tarjetas KPI en rojo</t>
  </si>
  <si>
    <t xml:space="preserve">Meta: 0 casos &gt;7 d (o ≤ 10 % del backlog)</t>
  </si>
  <si>
    <t xml:space="preserve">19 casos &gt;7 d; antigüedad máxima 54 d</t>
  </si>
  <si>
    <t xml:space="preserve">Skill reporte</t>
  </si>
  <si>
    <t xml:space="preserve">KPI 3 y 4 del reporte actual.</t>
  </si>
  <si>
    <t xml:space="preserve">D08</t>
  </si>
  <si>
    <t xml:space="preserve">5 tickets más antiguos por técnico</t>
  </si>
  <si>
    <t xml:space="preserve">Top 5 por antigüedad dentro de cada técnico (excluye títulos MODIF-DATOS/ELIM del listado).</t>
  </si>
  <si>
    <t xml:space="preserve">Gestión 1 a 1 con cada técnico; desbloquear casos críticos.</t>
  </si>
  <si>
    <t xml:space="preserve">Sí · Backlog y Reporte por técnico</t>
  </si>
  <si>
    <t xml:space="preserve">ID; Título; Estado; Asignado a - Técnico; Fecha de apertura</t>
  </si>
  <si>
    <t xml:space="preserve">Tabla por técnico con días en rojo</t>
  </si>
  <si>
    <t xml:space="preserve">&gt;7 días en rojo</t>
  </si>
  <si>
    <t xml:space="preserve">Reporte hoja 2 del skill</t>
  </si>
  <si>
    <t xml:space="preserve">Skill reporte · Matriz Excel #29</t>
  </si>
  <si>
    <t xml:space="preserve">Ticket con varios técnicos aparece en cada uno; MODIF-DATOS/ELIM cuentan en KPIs pero no se listan.</t>
  </si>
  <si>
    <t xml:space="preserve">D09</t>
  </si>
  <si>
    <t xml:space="preserve">Tickets pendientes sin actualización por X días</t>
  </si>
  <si>
    <t xml:space="preserve">Pendientes con (corte − Última modificación) &gt; umbral (sugerido 7 d); excluir En espera si aplica.</t>
  </si>
  <si>
    <t xml:space="preserve">Detectar tickets "olvidados" aunque sean recientes.</t>
  </si>
  <si>
    <t xml:space="preserve">Última modificación; Estado</t>
  </si>
  <si>
    <t xml:space="preserve">Tabla de alertas + KPI</t>
  </si>
  <si>
    <t xml:space="preserve">Umbral 7 d (configurable)</t>
  </si>
  <si>
    <t xml:space="preserve">5 pendientes sin actualizar &gt;7 d</t>
  </si>
  <si>
    <t xml:space="preserve">Matriz Excel #44</t>
  </si>
  <si>
    <t xml:space="preserve">Definir si En espera se excluye.</t>
  </si>
  <si>
    <t xml:space="preserve">D10</t>
  </si>
  <si>
    <t xml:space="preserve">Tiempos</t>
  </si>
  <si>
    <t xml:space="preserve">Tiempo de resolución mediano, promedio y P90 (apertura → cierre)</t>
  </si>
  <si>
    <t xml:space="preserve">(Fecha de cierre − Fecha de apertura) en horas, solo cerrados. Mostrar mediana y P90, no solo promedio.</t>
  </si>
  <si>
    <t xml:space="preserve">Fijar metas de servicio realistas; medir mejora.</t>
  </si>
  <si>
    <t xml:space="preserve">2 · Requiere transformar/limpiar</t>
  </si>
  <si>
    <t xml:space="preserve">Fecha de apertura; Fecha de cierre</t>
  </si>
  <si>
    <t xml:space="preserve">Tarjetas + histograma + tendencia mensual</t>
  </si>
  <si>
    <t xml:space="preserve">Meta a definir (ref.: mediana 44 h)</t>
  </si>
  <si>
    <t xml:space="preserve">Mediana 43,5 h · promedio 79,6 h · P90 133 h</t>
  </si>
  <si>
    <t xml:space="preserve">Matriz Excel #20</t>
  </si>
  <si>
    <t xml:space="preserve">"Duración total" viene en 0 y "Fecha de solución" vacía: calcular con Fecha de cierre (aprox.).</t>
  </si>
  <si>
    <t xml:space="preserve">D11</t>
  </si>
  <si>
    <t xml:space="preserve">Tiempo de resolución por prioridad</t>
  </si>
  <si>
    <t xml:space="preserve">Mediana (cierre − apertura) por Prioridad (Alta/Media/Baja).</t>
  </si>
  <si>
    <t xml:space="preserve">Validar que la prioridad realmente acelere la atención.</t>
  </si>
  <si>
    <t xml:space="preserve">Prioridad; Fecha de apertura; Fecha de cierre</t>
  </si>
  <si>
    <t xml:space="preserve">Boxplot / barras por prioridad</t>
  </si>
  <si>
    <t xml:space="preserve">Alta debe ser &lt; Media</t>
  </si>
  <si>
    <t xml:space="preserve">Alta 45 h · Media 42 h · Baja 44 h → la prioridad NO diferencia tiempos</t>
  </si>
  <si>
    <t xml:space="preserve">Matriz Excel #39</t>
  </si>
  <si>
    <t xml:space="preserve">Hallazgo: priorización no se está respetando; revisar criterios de prioridad.</t>
  </si>
  <si>
    <t xml:space="preserve">D12</t>
  </si>
  <si>
    <t xml:space="preserve">Tiempo mediano de resolución por técnico y por categoría</t>
  </si>
  <si>
    <t xml:space="preserve">Mediana (cierre − apertura) agrupada por técnico y por categoría nivel 1.</t>
  </si>
  <si>
    <t xml:space="preserve">Detectar cuellos de botella y necesidades de capacitación; equilibrar asignación.</t>
  </si>
  <si>
    <t xml:space="preserve">Parcial · Flujo y tiempos (por técnico; falta por categoría)</t>
  </si>
  <si>
    <t xml:space="preserve">Asignado a - Técnico; Categoría; fechas</t>
  </si>
  <si>
    <t xml:space="preserve">Barras ordenadas + tabla</t>
  </si>
  <si>
    <t xml:space="preserve">Técnico &gt; 2× mediana del equipo → revisar</t>
  </si>
  <si>
    <t xml:space="preserve">Mediana por técnico: P25 44 h · P50 56 h · P75 98 h</t>
  </si>
  <si>
    <t xml:space="preserve">Matriz Excel #31</t>
  </si>
  <si>
    <t xml:space="preserve">Usar mediana (hay casos extremos de &gt;1 000 h); tickets multi-técnico se atribuyen a cada uno.</t>
  </si>
  <si>
    <t xml:space="preserve">D13</t>
  </si>
  <si>
    <t xml:space="preserve">SLA</t>
  </si>
  <si>
    <t xml:space="preserve">Cumplimiento global de SLA (%)</t>
  </si>
  <si>
    <t xml:space="preserve">Tickets resueltos dentro del plazo ÷ tickets con SLA × 100.</t>
  </si>
  <si>
    <t xml:space="preserve">Rendir cuentas del servicio; base para acuerdos con las unidades.</t>
  </si>
  <si>
    <t xml:space="preserve">3 · Requiere nueva fuente de datos</t>
  </si>
  <si>
    <t xml:space="preserve">No · falta el campo SLA en el export</t>
  </si>
  <si>
    <t xml:space="preserve">SLA aplicable; fecha límite; fecha de solución/cierre</t>
  </si>
  <si>
    <t xml:space="preserve">Medidor + tendencia</t>
  </si>
  <si>
    <t xml:space="preserve">Meta ≥ 90 % (a definir)</t>
  </si>
  <si>
    <t xml:space="preserve">No calculable: "Tiempo de Solución + Progreso" está 100 % vacío</t>
  </si>
  <si>
    <t xml:space="preserve">Matriz Excel #7, #15, #26</t>
  </si>
  <si>
    <t xml:space="preserve">Requiere exportar campos SLA (TTO/TTR y fecha límite) desde GLPI o definir SLA por prioridad.</t>
  </si>
  <si>
    <t xml:space="preserve">D14</t>
  </si>
  <si>
    <t xml:space="preserve">Tickets próximos a vencer (24 / 48 h)</t>
  </si>
  <si>
    <t xml:space="preserve">Pendientes con fecha límite SLA dentro de las próximas 24/48 h.</t>
  </si>
  <si>
    <t xml:space="preserve">Alerta operativa para evitar incumplimientos.</t>
  </si>
  <si>
    <t xml:space="preserve">Fecha límite SLA; Estado; Prioridad</t>
  </si>
  <si>
    <t xml:space="preserve">Lista de alertas</t>
  </si>
  <si>
    <t xml:space="preserve">Tiempo real</t>
  </si>
  <si>
    <t xml:space="preserve">24 h = rojo; 48 h = ámbar</t>
  </si>
  <si>
    <t xml:space="preserve">No calculable (sin fecha límite SLA)</t>
  </si>
  <si>
    <t xml:space="preserve">Matriz Excel #27</t>
  </si>
  <si>
    <t xml:space="preserve">Depende de D13.</t>
  </si>
  <si>
    <t xml:space="preserve">D15</t>
  </si>
  <si>
    <t xml:space="preserve">Cumplimiento de SLA por entidad, categoría y prioridad</t>
  </si>
  <si>
    <t xml:space="preserve">D13 desagregado.</t>
  </si>
  <si>
    <t xml:space="preserve">Identificar dónde se incumplen compromisos.</t>
  </si>
  <si>
    <t xml:space="preserve">SLA; Entidad; Categoría; Prioridad</t>
  </si>
  <si>
    <t xml:space="preserve">Heatmap</t>
  </si>
  <si>
    <t xml:space="preserve">—</t>
  </si>
  <si>
    <t xml:space="preserve">No calculable</t>
  </si>
  <si>
    <t xml:space="preserve">Matriz Excel #28</t>
  </si>
  <si>
    <t xml:space="preserve">Fase posterior a D13.</t>
  </si>
  <si>
    <t xml:space="preserve">D16</t>
  </si>
  <si>
    <t xml:space="preserve">Tiempo hasta la primera respuesta (media y mediana)</t>
  </si>
  <si>
    <t xml:space="preserve">Fecha de primer seguimiento − Fecha de apertura.</t>
  </si>
  <si>
    <t xml:space="preserve">Medir la reacción inicial de la mesa de ayuda (experiencia del usuario).</t>
  </si>
  <si>
    <t xml:space="preserve">No · faltan fechas de seguimientos</t>
  </si>
  <si>
    <t xml:space="preserve">Fecha de apertura; fecha del primer seguimiento</t>
  </si>
  <si>
    <t xml:space="preserve">Meta a definir (p. ej. ≤ 2 h hábiles)</t>
  </si>
  <si>
    <t xml:space="preserve">No calculable: el CSV solo trae el origen del seguimiento, no su fecha</t>
  </si>
  <si>
    <t xml:space="preserve">Matriz Excel #21</t>
  </si>
  <si>
    <t xml:space="preserve">Exportar tabla de seguimientos (ITILFollowup) con fecha.</t>
  </si>
  <si>
    <t xml:space="preserve">D17</t>
  </si>
  <si>
    <t xml:space="preserve">Técnicos</t>
  </si>
  <si>
    <t xml:space="preserve">Pendientes por técnico y por equipo (ranking)</t>
  </si>
  <si>
    <t xml:space="preserve">Pendientes por técnico (ticket multi-técnico cuenta 1 vez por técnico); color por equipo (Desarrollo/Infraestructura/Soporte); máx. antigüedad por técnico.</t>
  </si>
  <si>
    <t xml:space="preserve">Redistribuir carga; decidir refuerzos entre equipos.</t>
  </si>
  <si>
    <t xml:space="preserve">Sí · Resumen y Backlog y técnicos</t>
  </si>
  <si>
    <t xml:space="preserve">Asignado a - Técnico; Estado; Fecha de apertura</t>
  </si>
  <si>
    <t xml:space="preserve">Barras horizontales por equipo (rojo +7 d)</t>
  </si>
  <si>
    <t xml:space="preserve">Técnico con ticket &gt;7 d marcado en rojo</t>
  </si>
  <si>
    <t xml:space="preserve">Reporte hoja 1 del skill</t>
  </si>
  <si>
    <t xml:space="preserve">Matriz Excel #4, #13, #29 · Skill reporte</t>
  </si>
  <si>
    <t xml:space="preserve">Requiere tabla técnico→equipo (mapping del skill); técnicos nuevos se asumen Soporte hasta confirmar.</t>
  </si>
  <si>
    <t xml:space="preserve">D18</t>
  </si>
  <si>
    <t xml:space="preserve">Tickets cerrados por técnico (productividad) y tasa de resolución</t>
  </si>
  <si>
    <t xml:space="preserve">Cerrados en el periodo por técnico; % = cerrados ÷ asignados.</t>
  </si>
  <si>
    <t xml:space="preserve">Reconocer desempeño y balancear asignaciones.</t>
  </si>
  <si>
    <t xml:space="preserve">Parcial · Flujo y tiempos (cerrados por técnico)</t>
  </si>
  <si>
    <t xml:space="preserve">Asignado a - Técnico; Estado; Fecha de cierre</t>
  </si>
  <si>
    <t xml:space="preserve">Barras + tabla</t>
  </si>
  <si>
    <t xml:space="preserve">Desviación &gt; 30 % del promedio del equipo</t>
  </si>
  <si>
    <t xml:space="preserve">206 técnicos con tickets en el histórico; cierres por técnico a calcular en el tablero</t>
  </si>
  <si>
    <t xml:space="preserve">Matriz Excel #13, #30</t>
  </si>
  <si>
    <t xml:space="preserve">Definir si se mide por asignados o atendidos; el campo trae nombres concatenados con &lt;br&gt;.</t>
  </si>
  <si>
    <t xml:space="preserve">D19</t>
  </si>
  <si>
    <t xml:space="preserve">Tickets sin técnico asignado (conteo y %)</t>
  </si>
  <si>
    <t xml:space="preserve">Pendientes con Asignado a vacío (barra "Sin asignar"); histórico por separado.</t>
  </si>
  <si>
    <t xml:space="preserve">Asegurar que ningún ticket quede sin responsable.</t>
  </si>
  <si>
    <t xml:space="preserve">Asignado a - Técnico; Estado</t>
  </si>
  <si>
    <t xml:space="preserve">Tarjeta KPI (rojo si &gt; 0) + listado</t>
  </si>
  <si>
    <t xml:space="preserve">Pendientes sin asignar = 0</t>
  </si>
  <si>
    <t xml:space="preserve">0 pendientes sin asignar; 834 cerrados sin técnico (7,5 % histórico)</t>
  </si>
  <si>
    <t xml:space="preserve">Matriz Excel #33 · Skill reporte</t>
  </si>
  <si>
    <t xml:space="preserve">Separar pendientes sin asignar (urgente) de cerrados sin técnico (calidad de datos).</t>
  </si>
  <si>
    <t xml:space="preserve">D20</t>
  </si>
  <si>
    <t xml:space="preserve">Balance de carga por técnico vs. promedio del equipo</t>
  </si>
  <si>
    <t xml:space="preserve">Tickets ingresados asignados por técnico ÷ promedio del equipo; opcional ÷ capacidad.</t>
  </si>
  <si>
    <t xml:space="preserve">Decidir reasignación y dimensionamiento del equipo.</t>
  </si>
  <si>
    <t xml:space="preserve">No · reemplazado por D36</t>
  </si>
  <si>
    <t xml:space="preserve">Asignado a - Técnico; Fecha de apertura</t>
  </si>
  <si>
    <t xml:space="preserve">Barras con línea de promedio</t>
  </si>
  <si>
    <t xml:space="preserve">&gt; 1,5× promedio → sobrecarga</t>
  </si>
  <si>
    <t xml:space="preserve">A calcular en el tablero (mediana de tiempo por técnico varía de 27 h a 1 238 h)</t>
  </si>
  <si>
    <t xml:space="preserve">Matriz Excel #49 (versión simplificada)</t>
  </si>
  <si>
    <t xml:space="preserve">Versión completa (capacidad/disponibilidad) requiere calendario laboral.</t>
  </si>
  <si>
    <t xml:space="preserve">D21</t>
  </si>
  <si>
    <t xml:space="preserve">Demanda</t>
  </si>
  <si>
    <t xml:space="preserve">Tickets por entidad / unidad (con drill-down)</t>
  </si>
  <si>
    <t xml:space="preserve">Conteo por Entidad; separar Sede Central vs. Unidades Territoriales y subunidad (Entidad es jerárquica).</t>
  </si>
  <si>
    <t xml:space="preserve">Priorizar atención y capacitación en las unidades con más demanda.</t>
  </si>
  <si>
    <t xml:space="preserve">Sí · Demanda</t>
  </si>
  <si>
    <t xml:space="preserve">Entidad; ID</t>
  </si>
  <si>
    <t xml:space="preserve">Ranking + treemap con drill-down</t>
  </si>
  <si>
    <t xml:space="preserve">Concentración &gt; 40 % en una unidad → analizar</t>
  </si>
  <si>
    <t xml:space="preserve">PAE (raíz) 68 %; UT Lima Metropolitana y Callao 606; Unidades Territoriales 22 % del total</t>
  </si>
  <si>
    <t xml:space="preserve">Matriz Excel #10, #46 (Unidad Orgánica)</t>
  </si>
  <si>
    <t xml:space="preserve">Sustituye a "Ubicación", que viene 100 % vacía: la Entidad ya trae la unidad orgánica.</t>
  </si>
  <si>
    <t xml:space="preserve">D22</t>
  </si>
  <si>
    <t xml:space="preserve">Backlog y tasa de resolución por entidad</t>
  </si>
  <si>
    <t xml:space="preserve">Pendientes y % cerrados por Entidad.</t>
  </si>
  <si>
    <t xml:space="preserve">Comparar demanda vs. capacidad de atención por unidad.</t>
  </si>
  <si>
    <t xml:space="preserve">No</t>
  </si>
  <si>
    <t xml:space="preserve">Entidad; Estado; fechas</t>
  </si>
  <si>
    <t xml:space="preserve">Tabla con barras en celda</t>
  </si>
  <si>
    <t xml:space="preserve">A calcular en el tablero</t>
  </si>
  <si>
    <t xml:space="preserve">Matriz Excel #38</t>
  </si>
  <si>
    <t xml:space="preserve">D23</t>
  </si>
  <si>
    <t xml:space="preserve">Principales categorías (nivel 1/2/3) y % sin categoría</t>
  </si>
  <si>
    <t xml:space="preserve">Conteo por Categoría desagregada en niveles (separador "&gt;" y "&amp;#62;").</t>
  </si>
  <si>
    <t xml:space="preserve">Orientar automatizaciones, FAQ y capacitación.</t>
  </si>
  <si>
    <t xml:space="preserve">Categoría</t>
  </si>
  <si>
    <t xml:space="preserve">Barras + sunburst jerárquico</t>
  </si>
  <si>
    <t xml:space="preserve">Accesos y Cuentas 2 729; Software y Aplicaciones 1 994; Equipos 460; Red 187</t>
  </si>
  <si>
    <t xml:space="preserve">Matriz Excel #11</t>
  </si>
  <si>
    <t xml:space="preserve">Normalizar "&amp;#62;" → "&gt;" y separar niveles; ver D29 por vacíos.</t>
  </si>
  <si>
    <t xml:space="preserve">D24</t>
  </si>
  <si>
    <t xml:space="preserve">Matriz entidad × categoría</t>
  </si>
  <si>
    <t xml:space="preserve">Conteo cruzado Entidad × Categoría nivel 1.</t>
  </si>
  <si>
    <t xml:space="preserve">Detectar patrones por unidad (p. ej. accesos SIGO en UT).</t>
  </si>
  <si>
    <t xml:space="preserve">Sí · Demanda (mapa de calor)</t>
  </si>
  <si>
    <t xml:space="preserve">Entidad; Categoría</t>
  </si>
  <si>
    <t xml:space="preserve">Heatmap con filtros</t>
  </si>
  <si>
    <t xml:space="preserve">A calcular</t>
  </si>
  <si>
    <t xml:space="preserve">Matriz Excel #37</t>
  </si>
  <si>
    <t xml:space="preserve">Limitado por 49,6 % sin categoría.</t>
  </si>
  <si>
    <t xml:space="preserve">D25</t>
  </si>
  <si>
    <t xml:space="preserve">Problemas recurrentes (aplicativo / tipo de trámite)</t>
  </si>
  <si>
    <t xml:space="preserve">Frecuencia por aplicativo (SIGO, SGD…) y prefijo del título ([MODIF-DATOS], ELIM…); top solicitudes repetidas.</t>
  </si>
  <si>
    <t xml:space="preserve">Decidir proyectos de automatización/mejora de sistemas; reducir causa raíz.</t>
  </si>
  <si>
    <t xml:space="preserve">Parcial · Demanda (aplicativos)</t>
  </si>
  <si>
    <t xml:space="preserve">Título; Descripción; Categoría</t>
  </si>
  <si>
    <t xml:space="preserve">Barras + nube/tabla de temas</t>
  </si>
  <si>
    <t xml:space="preserve">Tema &gt; 10 % de la demanda → acción de mejora</t>
  </si>
  <si>
    <t xml:space="preserve">SIGO en categoría: 2 308 tickets (20,6 %)</t>
  </si>
  <si>
    <t xml:space="preserve">Matriz Excel #36</t>
  </si>
  <si>
    <t xml:space="preserve">Requiere clasificación temática de títulos (reglas por palabra clave).</t>
  </si>
  <si>
    <t xml:space="preserve">D26</t>
  </si>
  <si>
    <t xml:space="preserve">Principales solicitantes y recurrencia</t>
  </si>
  <si>
    <t xml:space="preserve">Conteo por Solicitante; # solicitantes con ≥ N tickets repetidos.</t>
  </si>
  <si>
    <t xml:space="preserve">Capacitar a usuarios recurrentes; detectar abuso o fallas de proceso.</t>
  </si>
  <si>
    <t xml:space="preserve">No · el tablero no incluye solicitantes</t>
  </si>
  <si>
    <t xml:space="preserve">Solicitante - Solicitante</t>
  </si>
  <si>
    <t xml:space="preserve">Ranking top 10</t>
  </si>
  <si>
    <t xml:space="preserve">Top: Carlos Alberto García Soto 761 tickets; 452 solicitantes únicos</t>
  </si>
  <si>
    <t xml:space="preserve">Matriz Excel #14</t>
  </si>
  <si>
    <t xml:space="preserve">El principal solicitante parece ser personal de TI: validar si crea tickets en nombre de otros.</t>
  </si>
  <si>
    <t xml:space="preserve">D27</t>
  </si>
  <si>
    <t xml:space="preserve">Canal de ingreso y evolución</t>
  </si>
  <si>
    <t xml:space="preserve">% por Origen de la solicitud y su tendencia mensual.</t>
  </si>
  <si>
    <t xml:space="preserve">Promover canales eficientes (Formcreator/Web) y reducir llamadas.</t>
  </si>
  <si>
    <t xml:space="preserve">Origen de la solicitud; Fecha de apertura</t>
  </si>
  <si>
    <t xml:space="preserve">Barras 100 % apiladas por mes</t>
  </si>
  <si>
    <t xml:space="preserve">Web Helpdesk 72,8 %; Formcreator 17,2 %; Directo 7,0 %</t>
  </si>
  <si>
    <t xml:space="preserve">Matriz Excel #12</t>
  </si>
  <si>
    <t xml:space="preserve">D28</t>
  </si>
  <si>
    <t xml:space="preserve">Incidencias vs. solicitudes por mes</t>
  </si>
  <si>
    <t xml:space="preserve">Conteo por Tipo y mes.</t>
  </si>
  <si>
    <t xml:space="preserve">Diferenciar demanda correctiva (fallas) de demanda de servicio (accesos, altas).</t>
  </si>
  <si>
    <t xml:space="preserve">Tipo; Fecha de apertura</t>
  </si>
  <si>
    <t xml:space="preserve">Barras apiladas</t>
  </si>
  <si>
    <t xml:space="preserve">Incidencia 55,1 % · Solicitud 44,9 %</t>
  </si>
  <si>
    <t xml:space="preserve">Nuevo (campo Tipo del CSV)</t>
  </si>
  <si>
    <t xml:space="preserve">No estaba en la matriz Excel; aporta contexto de planificación.</t>
  </si>
  <si>
    <t xml:space="preserve">D29</t>
  </si>
  <si>
    <t xml:space="preserve">Calidad de datos</t>
  </si>
  <si>
    <t xml:space="preserve">% de tickets sin categoría (y listado)</t>
  </si>
  <si>
    <t xml:space="preserve">Tickets con Categoría vacía ÷ total; listado por técnico/entidad.</t>
  </si>
  <si>
    <t xml:space="preserve">Exigir clasificación obligatoria: sin ella no hay análisis confiable.</t>
  </si>
  <si>
    <t xml:space="preserve">Sí · Resumen y Calidad de datos</t>
  </si>
  <si>
    <t xml:space="preserve">Categoría; ID; Asignado a</t>
  </si>
  <si>
    <t xml:space="preserve">Tarjeta KPI + tabla de detalle</t>
  </si>
  <si>
    <t xml:space="preserve">Meta &lt; 5 %</t>
  </si>
  <si>
    <t xml:space="preserve">49,6 % (5 538 tickets) sin categoría</t>
  </si>
  <si>
    <t xml:space="preserve">Matriz Excel #32</t>
  </si>
  <si>
    <t xml:space="preserve">Principal limitante de D23, D24 y D12. Hacer obligatoria la categoría al cerrar.</t>
  </si>
  <si>
    <t xml:space="preserve">D30</t>
  </si>
  <si>
    <t xml:space="preserve">% de tickets sin solución registrada</t>
  </si>
  <si>
    <t xml:space="preserve">Cerrados con "Solución - Solución" vacío ÷ cerrados.</t>
  </si>
  <si>
    <t xml:space="preserve">Garantizar trazabilidad y base de conocimiento.</t>
  </si>
  <si>
    <t xml:space="preserve">Sí · Calidad de datos</t>
  </si>
  <si>
    <t xml:space="preserve">Solución - Solución; Estado</t>
  </si>
  <si>
    <t xml:space="preserve">Tarjeta KPI + detalle por técnico</t>
  </si>
  <si>
    <t xml:space="preserve">18,1 % sin texto de solución; "Tipo de solución" 100 % vacío</t>
  </si>
  <si>
    <t xml:space="preserve">Matriz Excel #45 (parcial)</t>
  </si>
  <si>
    <t xml:space="preserve">Reemplaza al análisis de tipo de solución mientras ese campo no se use.</t>
  </si>
  <si>
    <t xml:space="preserve">D31</t>
  </si>
  <si>
    <t xml:space="preserve">Campos obligatorios incompletos</t>
  </si>
  <si>
    <t xml:space="preserve">Tickets con vacíos en categoría, solicitante, prioridad, descripción o técnico (índice de completitud).</t>
  </si>
  <si>
    <t xml:space="preserve">Mejorar el registro; medir mejora del proceso.</t>
  </si>
  <si>
    <t xml:space="preserve">Categoría; Solicitante; Prioridad; Descripción; Técnico</t>
  </si>
  <si>
    <t xml:space="preserve">Tabla de completitud por campo</t>
  </si>
  <si>
    <t xml:space="preserve">Completitud ≥ 95 %</t>
  </si>
  <si>
    <t xml:space="preserve">Solicitante 1,8 % vacío; Descripción 0,2 %; Categoría 49,6 %</t>
  </si>
  <si>
    <t xml:space="preserve">Matriz Excel #34</t>
  </si>
  <si>
    <t xml:space="preserve">D32</t>
  </si>
  <si>
    <t xml:space="preserve">Satisfacción</t>
  </si>
  <si>
    <t xml:space="preserve">Tasa de respuesta a la encuesta de satisfacción</t>
  </si>
  <si>
    <t xml:space="preserve">Respondidas ÷ enviadas × 100.</t>
  </si>
  <si>
    <t xml:space="preserve">Medir representatividad de la satisfacción.</t>
  </si>
  <si>
    <t xml:space="preserve">No · falta la encuesta de satisfacción</t>
  </si>
  <si>
    <t xml:space="preserve">Encuestas enviadas/respondidas</t>
  </si>
  <si>
    <t xml:space="preserve">Meta ≥ 30 %</t>
  </si>
  <si>
    <t xml:space="preserve">No está en el CSV</t>
  </si>
  <si>
    <t xml:space="preserve">Matriz Excel #17, #42</t>
  </si>
  <si>
    <t xml:space="preserve">Exportar tabla de encuestas (TicketSatisfaction).</t>
  </si>
  <si>
    <t xml:space="preserve">D33</t>
  </si>
  <si>
    <t xml:space="preserve">Puntaje de satisfacción (mensual y por técnico/entidad/categoría)</t>
  </si>
  <si>
    <t xml:space="preserve">Promedio de calificación (excluir meses sin respuestas); mostrar n.</t>
  </si>
  <si>
    <t xml:space="preserve">Reconocimiento y acciones de mejora del servicio.</t>
  </si>
  <si>
    <t xml:space="preserve">Calificación; fecha; técnico; entidad; categoría</t>
  </si>
  <si>
    <t xml:space="preserve">Línea mensual + barras con n</t>
  </si>
  <si>
    <t xml:space="preserve">Meta ≥ 4/5 (a definir)</t>
  </si>
  <si>
    <t xml:space="preserve">Matriz Excel #18, #43</t>
  </si>
  <si>
    <t xml:space="preserve">Cuidar muestras pequeñas (mostrar n).</t>
  </si>
  <si>
    <t xml:space="preserve">D34</t>
  </si>
  <si>
    <t xml:space="preserve">Calidad del servicio</t>
  </si>
  <si>
    <t xml:space="preserve">Tasa de reapertura</t>
  </si>
  <si>
    <t xml:space="preserve">Tickets reabiertos ÷ cerrados en el periodo.</t>
  </si>
  <si>
    <t xml:space="preserve">Detectar soluciones deficientes y reprocesos.</t>
  </si>
  <si>
    <t xml:space="preserve">No · falta el historial de estados</t>
  </si>
  <si>
    <t xml:space="preserve">Historial de estados / eventos de reapertura</t>
  </si>
  <si>
    <t xml:space="preserve">Meta &lt; 3 %</t>
  </si>
  <si>
    <t xml:space="preserve">No calculable con estado actual</t>
  </si>
  <si>
    <t xml:space="preserve">Matriz Excel #40</t>
  </si>
  <si>
    <t xml:space="preserve">Requiere historial de estados (log de cambios).</t>
  </si>
  <si>
    <t xml:space="preserve">D35</t>
  </si>
  <si>
    <t xml:space="preserve">Gestión del cambio</t>
  </si>
  <si>
    <t xml:space="preserve">Controles de cambio: estado, duración y cumplimiento</t>
  </si>
  <si>
    <t xml:space="preserve">Cambios por estado y cumplimiento de ventana planificada.</t>
  </si>
  <si>
    <t xml:space="preserve">Controlar riesgo en pases a producción.</t>
  </si>
  <si>
    <t xml:space="preserve">No · falta el módulo de cambios</t>
  </si>
  <si>
    <t xml:space="preserve">Datos de cambios (módulo Cambios)</t>
  </si>
  <si>
    <t xml:space="preserve">Tarjeta + tabla</t>
  </si>
  <si>
    <t xml:space="preserve">Matriz Excel #16</t>
  </si>
  <si>
    <t xml:space="preserve">Requiere exportar módulo Cambios de GLPI.</t>
  </si>
  <si>
    <t xml:space="preserve">D36</t>
  </si>
  <si>
    <t xml:space="preserve">Carga por equipo (pendientes, técnicos, promedio por técnico, casos &gt;7 días)</t>
  </si>
  <si>
    <t xml:space="preserve">Pendientes únicos por equipo (Desarrollo, Infraestructura, Soporte); técnicos con pendientes; promedio = pendientes ÷ técnicos; casos &gt;7 d por equipo.</t>
  </si>
  <si>
    <t xml:space="preserve">Redistribuir carga entre equipos y decidir refuerzos.</t>
  </si>
  <si>
    <t xml:space="preserve">Asignado a - Técnico; Estado; Fecha de apertura; tabla técnico→equipo</t>
  </si>
  <si>
    <t xml:space="preserve">Barras por equipo + cifras</t>
  </si>
  <si>
    <t xml:space="preserve">Equipo con &gt; 2× el promedio por técnico del resto → revisar</t>
  </si>
  <si>
    <t xml:space="preserve">Desarrollo 33 (3,7 por técnico, 16 con &gt;7 d) · Soporte Técnico 18 (2,3) · Infraestructura 14 (7,0 con 2 técnicos)</t>
  </si>
  <si>
    <t xml:space="preserve">Skill reporte · Matriz Excel #4, #29</t>
  </si>
  <si>
    <t xml:space="preserve">Extiende D17 con la vista por equipo; requiere mantener la tabla técnico→equipo.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</si>
</sst>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A4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2A4F"/>
        <bgColor rgb="FF333333"/>
      </patternFill>
    </fill>
    <fill>
      <patternFill patternType="solid">
        <fgColor rgb="FFFCE4B0"/>
        <bgColor rgb="FFFFF2CC"/>
      </patternFill>
    </fill>
    <fill>
      <patternFill patternType="solid">
        <fgColor rgb="FFC6E0B4"/>
        <bgColor rgb="FFBFBFBF"/>
      </patternFill>
    </fill>
    <fill>
      <patternFill patternType="solid">
        <fgColor rgb="FFF4B6B6"/>
        <bgColor rgb="FFF8CBAD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CE4B0"/>
      </patternFill>
    </fill>
    <fill>
      <patternFill patternType="solid">
        <fgColor rgb="FFF8CBAD"/>
        <bgColor rgb="FFF4B6B6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42A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CE4B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CE4B0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A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3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26"/>
    <col collapsed="false" customWidth="true" hidden="false" outlineLevel="0" max="10" min="10" style="1" width="30"/>
    <col collapsed="false" customWidth="true" hidden="false" outlineLevel="0" max="11" min="11" style="1" width="24"/>
    <col collapsed="false" customWidth="true" hidden="false" outlineLevel="0" max="12" min="12" style="1" width="14"/>
    <col collapsed="false" customWidth="true" hidden="false" outlineLevel="0" max="13" min="13" style="1" width="28"/>
    <col collapsed="false" customWidth="true" hidden="false" outlineLevel="0" max="14" min="14" style="1" width="34"/>
    <col collapsed="false" customWidth="true" hidden="false" outlineLevel="0" max="15" min="15" style="1" width="22"/>
    <col collapsed="false" customWidth="true" hidden="false" outlineLevel="0" max="16" min="16" style="1" width="40"/>
  </cols>
  <sheetData>
    <row r="1" customFormat="false" ht="17.25" hidden="false" customHeight="true" outlineLevel="0" collapsed="false">
      <c r="A1" s="2" t="s">
        <v>0</v>
      </c>
    </row>
    <row r="2" customFormat="false" ht="27.75" hidden="false" customHeight="true" outlineLevel="0" collapsed="false">
      <c r="A2" s="3" t="str">
        <f aca="false">"Total: "&amp;COUNTA(A5:A40)&amp;" indicadores · En el tablero: "&amp;COUNTIF(I5:I40,"Sí*")&amp;" · Parciales: "&amp;COUNTIF(I5:I40,"Parcial*")&amp;" · Sin implementar: "&amp;COUNTIF(I5:I40,"No*")&amp;"  |  Valores de referencia: CSV glpi86, corte 14/10/2026 12:29. Umbrales sugeridos: validar con la jefatura."</f>
        <v>Total: 36 indicadores · En el tablero: 22 · Parciales: 3 · Sin implementar: 11  |  Valores de referencia: CSV glpi86, corte 14/10/2026 12:29. Umbrales sugeridos: validar con la jefatura.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6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customFormat="false" ht="23.25" hidden="false" customHeight="true" outlineLevel="0" collapsed="false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7" t="s">
        <v>22</v>
      </c>
      <c r="G5" s="6" t="s">
        <v>23</v>
      </c>
      <c r="H5" s="8" t="s">
        <v>24</v>
      </c>
      <c r="I5" s="8" t="s">
        <v>25</v>
      </c>
      <c r="J5" s="6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6" t="s">
        <v>31</v>
      </c>
      <c r="P5" s="6" t="s">
        <v>32</v>
      </c>
    </row>
    <row r="6" customFormat="false" ht="34.5" hidden="false" customHeight="true" outlineLevel="0" collapsed="false">
      <c r="A6" s="5" t="s">
        <v>33</v>
      </c>
      <c r="B6" s="6" t="s">
        <v>18</v>
      </c>
      <c r="C6" s="6" t="s">
        <v>34</v>
      </c>
      <c r="D6" s="6" t="s">
        <v>35</v>
      </c>
      <c r="E6" s="6" t="s">
        <v>36</v>
      </c>
      <c r="F6" s="9" t="s">
        <v>37</v>
      </c>
      <c r="G6" s="6" t="s">
        <v>38</v>
      </c>
      <c r="H6" s="8" t="s">
        <v>24</v>
      </c>
      <c r="I6" s="8" t="s">
        <v>39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44</v>
      </c>
      <c r="O6" s="6" t="s">
        <v>45</v>
      </c>
      <c r="P6" s="6" t="s">
        <v>46</v>
      </c>
    </row>
    <row r="7" customFormat="false" ht="23.25" hidden="false" customHeight="true" outlineLevel="0" collapsed="false">
      <c r="A7" s="5" t="s">
        <v>47</v>
      </c>
      <c r="B7" s="6" t="s">
        <v>18</v>
      </c>
      <c r="C7" s="6" t="s">
        <v>48</v>
      </c>
      <c r="D7" s="6" t="s">
        <v>49</v>
      </c>
      <c r="E7" s="6" t="s">
        <v>50</v>
      </c>
      <c r="F7" s="10" t="s">
        <v>51</v>
      </c>
      <c r="G7" s="6" t="s">
        <v>52</v>
      </c>
      <c r="H7" s="8" t="s">
        <v>24</v>
      </c>
      <c r="I7" s="8" t="s">
        <v>53</v>
      </c>
      <c r="J7" s="6" t="s">
        <v>54</v>
      </c>
      <c r="K7" s="6" t="s">
        <v>55</v>
      </c>
      <c r="L7" s="6" t="s">
        <v>56</v>
      </c>
      <c r="M7" s="6" t="s">
        <v>57</v>
      </c>
      <c r="N7" s="6" t="s">
        <v>58</v>
      </c>
      <c r="O7" s="6" t="s">
        <v>59</v>
      </c>
      <c r="P7" s="6" t="s">
        <v>60</v>
      </c>
    </row>
    <row r="8" customFormat="false" ht="23.25" hidden="false" customHeight="true" outlineLevel="0" collapsed="false">
      <c r="A8" s="5" t="s">
        <v>61</v>
      </c>
      <c r="B8" s="6" t="s">
        <v>18</v>
      </c>
      <c r="C8" s="6" t="s">
        <v>62</v>
      </c>
      <c r="D8" s="6" t="s">
        <v>63</v>
      </c>
      <c r="E8" s="6" t="s">
        <v>64</v>
      </c>
      <c r="F8" s="9" t="s">
        <v>37</v>
      </c>
      <c r="G8" s="6" t="s">
        <v>23</v>
      </c>
      <c r="H8" s="8" t="s">
        <v>24</v>
      </c>
      <c r="I8" s="8" t="s">
        <v>65</v>
      </c>
      <c r="J8" s="6" t="s">
        <v>66</v>
      </c>
      <c r="K8" s="6" t="s">
        <v>67</v>
      </c>
      <c r="L8" s="6" t="s">
        <v>68</v>
      </c>
      <c r="M8" s="6" t="s">
        <v>69</v>
      </c>
      <c r="N8" s="6" t="s">
        <v>70</v>
      </c>
      <c r="O8" s="6" t="s">
        <v>71</v>
      </c>
      <c r="P8" s="6" t="s">
        <v>72</v>
      </c>
    </row>
    <row r="9" customFormat="false" ht="23.25" hidden="false" customHeight="true" outlineLevel="0" collapsed="false">
      <c r="A9" s="5" t="s">
        <v>73</v>
      </c>
      <c r="B9" s="6" t="s">
        <v>18</v>
      </c>
      <c r="C9" s="6" t="s">
        <v>74</v>
      </c>
      <c r="D9" s="6" t="s">
        <v>75</v>
      </c>
      <c r="E9" s="6" t="s">
        <v>76</v>
      </c>
      <c r="F9" s="7" t="s">
        <v>22</v>
      </c>
      <c r="G9" s="6" t="s">
        <v>23</v>
      </c>
      <c r="H9" s="8" t="s">
        <v>24</v>
      </c>
      <c r="I9" s="8" t="s">
        <v>25</v>
      </c>
      <c r="J9" s="6" t="s">
        <v>77</v>
      </c>
      <c r="K9" s="6" t="s">
        <v>78</v>
      </c>
      <c r="L9" s="6" t="s">
        <v>79</v>
      </c>
      <c r="M9" s="6" t="s">
        <v>80</v>
      </c>
      <c r="N9" s="6" t="s">
        <v>81</v>
      </c>
      <c r="O9" s="6" t="s">
        <v>82</v>
      </c>
      <c r="P9" s="6" t="s">
        <v>83</v>
      </c>
    </row>
    <row r="10" customFormat="false" ht="23.25" hidden="false" customHeight="true" outlineLevel="0" collapsed="false">
      <c r="A10" s="5" t="s">
        <v>84</v>
      </c>
      <c r="B10" s="6" t="s">
        <v>85</v>
      </c>
      <c r="C10" s="6" t="s">
        <v>86</v>
      </c>
      <c r="D10" s="6" t="s">
        <v>87</v>
      </c>
      <c r="E10" s="6" t="s">
        <v>88</v>
      </c>
      <c r="F10" s="9" t="s">
        <v>37</v>
      </c>
      <c r="G10" s="6" t="s">
        <v>38</v>
      </c>
      <c r="H10" s="8" t="s">
        <v>24</v>
      </c>
      <c r="I10" s="8" t="s">
        <v>89</v>
      </c>
      <c r="J10" s="6" t="s">
        <v>90</v>
      </c>
      <c r="K10" s="6" t="s">
        <v>91</v>
      </c>
      <c r="L10" s="6" t="s">
        <v>92</v>
      </c>
      <c r="M10" s="6" t="s">
        <v>93</v>
      </c>
      <c r="N10" s="6" t="s">
        <v>94</v>
      </c>
      <c r="O10" s="6" t="s">
        <v>95</v>
      </c>
      <c r="P10" s="6" t="s">
        <v>96</v>
      </c>
    </row>
    <row r="11" customFormat="false" ht="23.25" hidden="false" customHeight="true" outlineLevel="0" collapsed="false">
      <c r="A11" s="5" t="s">
        <v>97</v>
      </c>
      <c r="B11" s="6" t="s">
        <v>85</v>
      </c>
      <c r="C11" s="6" t="s">
        <v>98</v>
      </c>
      <c r="D11" s="6" t="s">
        <v>99</v>
      </c>
      <c r="E11" s="6" t="s">
        <v>100</v>
      </c>
      <c r="F11" s="9" t="s">
        <v>37</v>
      </c>
      <c r="G11" s="6" t="s">
        <v>38</v>
      </c>
      <c r="H11" s="8" t="s">
        <v>24</v>
      </c>
      <c r="I11" s="8" t="s">
        <v>39</v>
      </c>
      <c r="J11" s="6" t="s">
        <v>101</v>
      </c>
      <c r="K11" s="6" t="s">
        <v>102</v>
      </c>
      <c r="L11" s="6" t="s">
        <v>92</v>
      </c>
      <c r="M11" s="6" t="s">
        <v>103</v>
      </c>
      <c r="N11" s="6" t="s">
        <v>104</v>
      </c>
      <c r="O11" s="6" t="s">
        <v>105</v>
      </c>
      <c r="P11" s="6" t="s">
        <v>106</v>
      </c>
    </row>
    <row r="12" customFormat="false" ht="34.5" hidden="false" customHeight="true" outlineLevel="0" collapsed="false">
      <c r="A12" s="5" t="s">
        <v>107</v>
      </c>
      <c r="B12" s="6" t="s">
        <v>85</v>
      </c>
      <c r="C12" s="6" t="s">
        <v>108</v>
      </c>
      <c r="D12" s="6" t="s">
        <v>109</v>
      </c>
      <c r="E12" s="6" t="s">
        <v>110</v>
      </c>
      <c r="F12" s="7" t="s">
        <v>22</v>
      </c>
      <c r="G12" s="6" t="s">
        <v>38</v>
      </c>
      <c r="H12" s="8" t="s">
        <v>24</v>
      </c>
      <c r="I12" s="8" t="s">
        <v>111</v>
      </c>
      <c r="J12" s="6" t="s">
        <v>112</v>
      </c>
      <c r="K12" s="6" t="s">
        <v>113</v>
      </c>
      <c r="L12" s="6" t="s">
        <v>92</v>
      </c>
      <c r="M12" s="6" t="s">
        <v>114</v>
      </c>
      <c r="N12" s="6" t="s">
        <v>115</v>
      </c>
      <c r="O12" s="6" t="s">
        <v>116</v>
      </c>
      <c r="P12" s="6" t="s">
        <v>117</v>
      </c>
    </row>
    <row r="13" customFormat="false" ht="23.25" hidden="false" customHeight="true" outlineLevel="0" collapsed="false">
      <c r="A13" s="5" t="s">
        <v>118</v>
      </c>
      <c r="B13" s="6" t="s">
        <v>85</v>
      </c>
      <c r="C13" s="6" t="s">
        <v>119</v>
      </c>
      <c r="D13" s="6" t="s">
        <v>120</v>
      </c>
      <c r="E13" s="6" t="s">
        <v>121</v>
      </c>
      <c r="F13" s="7" t="s">
        <v>22</v>
      </c>
      <c r="G13" s="6" t="s">
        <v>38</v>
      </c>
      <c r="H13" s="8" t="s">
        <v>24</v>
      </c>
      <c r="I13" s="8" t="s">
        <v>39</v>
      </c>
      <c r="J13" s="6" t="s">
        <v>122</v>
      </c>
      <c r="K13" s="6" t="s">
        <v>123</v>
      </c>
      <c r="L13" s="6" t="s">
        <v>92</v>
      </c>
      <c r="M13" s="6" t="s">
        <v>124</v>
      </c>
      <c r="N13" s="6" t="s">
        <v>125</v>
      </c>
      <c r="O13" s="6" t="s">
        <v>126</v>
      </c>
      <c r="P13" s="6" t="s">
        <v>127</v>
      </c>
    </row>
    <row r="14" customFormat="false" ht="23.25" hidden="false" customHeight="true" outlineLevel="0" collapsed="false">
      <c r="A14" s="5" t="s">
        <v>128</v>
      </c>
      <c r="B14" s="6" t="s">
        <v>129</v>
      </c>
      <c r="C14" s="6" t="s">
        <v>130</v>
      </c>
      <c r="D14" s="6" t="s">
        <v>131</v>
      </c>
      <c r="E14" s="6" t="s">
        <v>132</v>
      </c>
      <c r="F14" s="9" t="s">
        <v>37</v>
      </c>
      <c r="G14" s="6" t="s">
        <v>23</v>
      </c>
      <c r="H14" s="11" t="s">
        <v>133</v>
      </c>
      <c r="I14" s="8" t="s">
        <v>25</v>
      </c>
      <c r="J14" s="6" t="s">
        <v>134</v>
      </c>
      <c r="K14" s="6" t="s">
        <v>135</v>
      </c>
      <c r="L14" s="6" t="s">
        <v>79</v>
      </c>
      <c r="M14" s="6" t="s">
        <v>136</v>
      </c>
      <c r="N14" s="6" t="s">
        <v>137</v>
      </c>
      <c r="O14" s="6" t="s">
        <v>138</v>
      </c>
      <c r="P14" s="6" t="s">
        <v>139</v>
      </c>
    </row>
    <row r="15" customFormat="false" ht="23.25" hidden="false" customHeight="true" outlineLevel="0" collapsed="false">
      <c r="A15" s="5" t="s">
        <v>140</v>
      </c>
      <c r="B15" s="6" t="s">
        <v>129</v>
      </c>
      <c r="C15" s="6" t="s">
        <v>141</v>
      </c>
      <c r="D15" s="6" t="s">
        <v>142</v>
      </c>
      <c r="E15" s="6" t="s">
        <v>143</v>
      </c>
      <c r="F15" s="7" t="s">
        <v>22</v>
      </c>
      <c r="G15" s="6" t="s">
        <v>52</v>
      </c>
      <c r="H15" s="11" t="s">
        <v>133</v>
      </c>
      <c r="I15" s="8" t="s">
        <v>25</v>
      </c>
      <c r="J15" s="6" t="s">
        <v>144</v>
      </c>
      <c r="K15" s="6" t="s">
        <v>145</v>
      </c>
      <c r="L15" s="6" t="s">
        <v>79</v>
      </c>
      <c r="M15" s="6" t="s">
        <v>146</v>
      </c>
      <c r="N15" s="6" t="s">
        <v>147</v>
      </c>
      <c r="O15" s="6" t="s">
        <v>148</v>
      </c>
      <c r="P15" s="6" t="s">
        <v>149</v>
      </c>
    </row>
    <row r="16" customFormat="false" ht="23.25" hidden="false" customHeight="true" outlineLevel="0" collapsed="false">
      <c r="A16" s="5" t="s">
        <v>150</v>
      </c>
      <c r="B16" s="6" t="s">
        <v>129</v>
      </c>
      <c r="C16" s="6" t="s">
        <v>151</v>
      </c>
      <c r="D16" s="6" t="s">
        <v>152</v>
      </c>
      <c r="E16" s="6" t="s">
        <v>153</v>
      </c>
      <c r="F16" s="7" t="s">
        <v>22</v>
      </c>
      <c r="G16" s="6" t="s">
        <v>52</v>
      </c>
      <c r="H16" s="11" t="s">
        <v>133</v>
      </c>
      <c r="I16" s="11" t="s">
        <v>154</v>
      </c>
      <c r="J16" s="6" t="s">
        <v>155</v>
      </c>
      <c r="K16" s="6" t="s">
        <v>156</v>
      </c>
      <c r="L16" s="6" t="s">
        <v>79</v>
      </c>
      <c r="M16" s="6" t="s">
        <v>157</v>
      </c>
      <c r="N16" s="6" t="s">
        <v>158</v>
      </c>
      <c r="O16" s="6" t="s">
        <v>159</v>
      </c>
      <c r="P16" s="6" t="s">
        <v>160</v>
      </c>
    </row>
    <row r="17" customFormat="false" ht="34.5" hidden="false" customHeight="true" outlineLevel="0" collapsed="false">
      <c r="A17" s="5" t="s">
        <v>161</v>
      </c>
      <c r="B17" s="6" t="s">
        <v>162</v>
      </c>
      <c r="C17" s="6" t="s">
        <v>163</v>
      </c>
      <c r="D17" s="6" t="s">
        <v>164</v>
      </c>
      <c r="E17" s="6" t="s">
        <v>165</v>
      </c>
      <c r="F17" s="9" t="s">
        <v>37</v>
      </c>
      <c r="G17" s="6" t="s">
        <v>23</v>
      </c>
      <c r="H17" s="12" t="s">
        <v>166</v>
      </c>
      <c r="I17" s="13" t="s">
        <v>167</v>
      </c>
      <c r="J17" s="6" t="s">
        <v>168</v>
      </c>
      <c r="K17" s="6" t="s">
        <v>169</v>
      </c>
      <c r="L17" s="6" t="s">
        <v>79</v>
      </c>
      <c r="M17" s="6" t="s">
        <v>170</v>
      </c>
      <c r="N17" s="6" t="s">
        <v>171</v>
      </c>
      <c r="O17" s="6" t="s">
        <v>172</v>
      </c>
      <c r="P17" s="6" t="s">
        <v>173</v>
      </c>
    </row>
    <row r="18" customFormat="false" ht="23.25" hidden="false" customHeight="true" outlineLevel="0" collapsed="false">
      <c r="A18" s="5" t="s">
        <v>174</v>
      </c>
      <c r="B18" s="6" t="s">
        <v>162</v>
      </c>
      <c r="C18" s="6" t="s">
        <v>175</v>
      </c>
      <c r="D18" s="6" t="s">
        <v>176</v>
      </c>
      <c r="E18" s="6" t="s">
        <v>177</v>
      </c>
      <c r="F18" s="7" t="s">
        <v>22</v>
      </c>
      <c r="G18" s="6" t="s">
        <v>38</v>
      </c>
      <c r="H18" s="12" t="s">
        <v>166</v>
      </c>
      <c r="I18" s="13" t="s">
        <v>167</v>
      </c>
      <c r="J18" s="6" t="s">
        <v>178</v>
      </c>
      <c r="K18" s="6" t="s">
        <v>179</v>
      </c>
      <c r="L18" s="6" t="s">
        <v>180</v>
      </c>
      <c r="M18" s="6" t="s">
        <v>181</v>
      </c>
      <c r="N18" s="6" t="s">
        <v>182</v>
      </c>
      <c r="O18" s="6" t="s">
        <v>183</v>
      </c>
      <c r="P18" s="6" t="s">
        <v>184</v>
      </c>
    </row>
    <row r="19" customFormat="false" ht="23.25" hidden="false" customHeight="true" outlineLevel="0" collapsed="false">
      <c r="A19" s="5" t="s">
        <v>185</v>
      </c>
      <c r="B19" s="6" t="s">
        <v>162</v>
      </c>
      <c r="C19" s="6" t="s">
        <v>186</v>
      </c>
      <c r="D19" s="6" t="s">
        <v>187</v>
      </c>
      <c r="E19" s="6" t="s">
        <v>188</v>
      </c>
      <c r="F19" s="10" t="s">
        <v>51</v>
      </c>
      <c r="G19" s="6" t="s">
        <v>52</v>
      </c>
      <c r="H19" s="12" t="s">
        <v>166</v>
      </c>
      <c r="I19" s="13" t="s">
        <v>167</v>
      </c>
      <c r="J19" s="6" t="s">
        <v>189</v>
      </c>
      <c r="K19" s="6" t="s">
        <v>190</v>
      </c>
      <c r="L19" s="6" t="s">
        <v>79</v>
      </c>
      <c r="M19" s="6" t="s">
        <v>191</v>
      </c>
      <c r="N19" s="6" t="s">
        <v>192</v>
      </c>
      <c r="O19" s="6" t="s">
        <v>193</v>
      </c>
      <c r="P19" s="6" t="s">
        <v>194</v>
      </c>
    </row>
    <row r="20" customFormat="false" ht="23.25" hidden="false" customHeight="true" outlineLevel="0" collapsed="false">
      <c r="A20" s="5" t="s">
        <v>195</v>
      </c>
      <c r="B20" s="6" t="s">
        <v>129</v>
      </c>
      <c r="C20" s="6" t="s">
        <v>196</v>
      </c>
      <c r="D20" s="6" t="s">
        <v>197</v>
      </c>
      <c r="E20" s="6" t="s">
        <v>198</v>
      </c>
      <c r="F20" s="7" t="s">
        <v>22</v>
      </c>
      <c r="G20" s="6" t="s">
        <v>23</v>
      </c>
      <c r="H20" s="12" t="s">
        <v>166</v>
      </c>
      <c r="I20" s="13" t="s">
        <v>199</v>
      </c>
      <c r="J20" s="6" t="s">
        <v>200</v>
      </c>
      <c r="K20" s="6" t="s">
        <v>78</v>
      </c>
      <c r="L20" s="6" t="s">
        <v>79</v>
      </c>
      <c r="M20" s="6" t="s">
        <v>201</v>
      </c>
      <c r="N20" s="6" t="s">
        <v>202</v>
      </c>
      <c r="O20" s="6" t="s">
        <v>203</v>
      </c>
      <c r="P20" s="6" t="s">
        <v>204</v>
      </c>
    </row>
    <row r="21" customFormat="false" ht="45.75" hidden="false" customHeight="true" outlineLevel="0" collapsed="false">
      <c r="A21" s="5" t="s">
        <v>205</v>
      </c>
      <c r="B21" s="6" t="s">
        <v>206</v>
      </c>
      <c r="C21" s="6" t="s">
        <v>207</v>
      </c>
      <c r="D21" s="6" t="s">
        <v>208</v>
      </c>
      <c r="E21" s="6" t="s">
        <v>209</v>
      </c>
      <c r="F21" s="9" t="s">
        <v>37</v>
      </c>
      <c r="G21" s="6" t="s">
        <v>38</v>
      </c>
      <c r="H21" s="8" t="s">
        <v>24</v>
      </c>
      <c r="I21" s="8" t="s">
        <v>210</v>
      </c>
      <c r="J21" s="6" t="s">
        <v>211</v>
      </c>
      <c r="K21" s="6" t="s">
        <v>212</v>
      </c>
      <c r="L21" s="6" t="s">
        <v>92</v>
      </c>
      <c r="M21" s="6" t="s">
        <v>213</v>
      </c>
      <c r="N21" s="6" t="s">
        <v>214</v>
      </c>
      <c r="O21" s="6" t="s">
        <v>215</v>
      </c>
      <c r="P21" s="6" t="s">
        <v>216</v>
      </c>
    </row>
    <row r="22" customFormat="false" ht="23.25" hidden="false" customHeight="true" outlineLevel="0" collapsed="false">
      <c r="A22" s="5" t="s">
        <v>217</v>
      </c>
      <c r="B22" s="6" t="s">
        <v>206</v>
      </c>
      <c r="C22" s="6" t="s">
        <v>218</v>
      </c>
      <c r="D22" s="6" t="s">
        <v>219</v>
      </c>
      <c r="E22" s="6" t="s">
        <v>220</v>
      </c>
      <c r="F22" s="7" t="s">
        <v>22</v>
      </c>
      <c r="G22" s="6" t="s">
        <v>52</v>
      </c>
      <c r="H22" s="11" t="s">
        <v>133</v>
      </c>
      <c r="I22" s="11" t="s">
        <v>221</v>
      </c>
      <c r="J22" s="6" t="s">
        <v>222</v>
      </c>
      <c r="K22" s="6" t="s">
        <v>223</v>
      </c>
      <c r="L22" s="6" t="s">
        <v>79</v>
      </c>
      <c r="M22" s="6" t="s">
        <v>224</v>
      </c>
      <c r="N22" s="6" t="s">
        <v>225</v>
      </c>
      <c r="O22" s="6" t="s">
        <v>226</v>
      </c>
      <c r="P22" s="6" t="s">
        <v>227</v>
      </c>
    </row>
    <row r="23" customFormat="false" ht="23.25" hidden="false" customHeight="true" outlineLevel="0" collapsed="false">
      <c r="A23" s="5" t="s">
        <v>228</v>
      </c>
      <c r="B23" s="6" t="s">
        <v>206</v>
      </c>
      <c r="C23" s="6" t="s">
        <v>229</v>
      </c>
      <c r="D23" s="6" t="s">
        <v>230</v>
      </c>
      <c r="E23" s="6" t="s">
        <v>231</v>
      </c>
      <c r="F23" s="9" t="s">
        <v>37</v>
      </c>
      <c r="G23" s="6" t="s">
        <v>38</v>
      </c>
      <c r="H23" s="8" t="s">
        <v>24</v>
      </c>
      <c r="I23" s="8" t="s">
        <v>39</v>
      </c>
      <c r="J23" s="6" t="s">
        <v>232</v>
      </c>
      <c r="K23" s="6" t="s">
        <v>233</v>
      </c>
      <c r="L23" s="6" t="s">
        <v>180</v>
      </c>
      <c r="M23" s="6" t="s">
        <v>234</v>
      </c>
      <c r="N23" s="6" t="s">
        <v>235</v>
      </c>
      <c r="O23" s="6" t="s">
        <v>236</v>
      </c>
      <c r="P23" s="6" t="s">
        <v>237</v>
      </c>
    </row>
    <row r="24" customFormat="false" ht="34.5" hidden="false" customHeight="true" outlineLevel="0" collapsed="false">
      <c r="A24" s="5" t="s">
        <v>238</v>
      </c>
      <c r="B24" s="6" t="s">
        <v>206</v>
      </c>
      <c r="C24" s="6" t="s">
        <v>239</v>
      </c>
      <c r="D24" s="6" t="s">
        <v>240</v>
      </c>
      <c r="E24" s="6" t="s">
        <v>241</v>
      </c>
      <c r="F24" s="10" t="s">
        <v>51</v>
      </c>
      <c r="G24" s="6" t="s">
        <v>23</v>
      </c>
      <c r="H24" s="11" t="s">
        <v>133</v>
      </c>
      <c r="I24" s="13" t="s">
        <v>242</v>
      </c>
      <c r="J24" s="6" t="s">
        <v>243</v>
      </c>
      <c r="K24" s="6" t="s">
        <v>244</v>
      </c>
      <c r="L24" s="6" t="s">
        <v>79</v>
      </c>
      <c r="M24" s="6" t="s">
        <v>245</v>
      </c>
      <c r="N24" s="6" t="s">
        <v>246</v>
      </c>
      <c r="O24" s="6" t="s">
        <v>247</v>
      </c>
      <c r="P24" s="6" t="s">
        <v>248</v>
      </c>
    </row>
    <row r="25" customFormat="false" ht="34.5" hidden="false" customHeight="true" outlineLevel="0" collapsed="false">
      <c r="A25" s="5" t="s">
        <v>249</v>
      </c>
      <c r="B25" s="6" t="s">
        <v>250</v>
      </c>
      <c r="C25" s="6" t="s">
        <v>251</v>
      </c>
      <c r="D25" s="6" t="s">
        <v>252</v>
      </c>
      <c r="E25" s="6" t="s">
        <v>253</v>
      </c>
      <c r="F25" s="7" t="s">
        <v>22</v>
      </c>
      <c r="G25" s="6" t="s">
        <v>23</v>
      </c>
      <c r="H25" s="8" t="s">
        <v>24</v>
      </c>
      <c r="I25" s="8" t="s">
        <v>254</v>
      </c>
      <c r="J25" s="6" t="s">
        <v>255</v>
      </c>
      <c r="K25" s="6" t="s">
        <v>256</v>
      </c>
      <c r="L25" s="6" t="s">
        <v>79</v>
      </c>
      <c r="M25" s="6" t="s">
        <v>257</v>
      </c>
      <c r="N25" s="6" t="s">
        <v>258</v>
      </c>
      <c r="O25" s="6" t="s">
        <v>259</v>
      </c>
      <c r="P25" s="6" t="s">
        <v>260</v>
      </c>
    </row>
    <row r="26" customFormat="false" ht="23.25" hidden="false" customHeight="true" outlineLevel="0" collapsed="false">
      <c r="A26" s="5" t="s">
        <v>261</v>
      </c>
      <c r="B26" s="6" t="s">
        <v>250</v>
      </c>
      <c r="C26" s="6" t="s">
        <v>262</v>
      </c>
      <c r="D26" s="6" t="s">
        <v>263</v>
      </c>
      <c r="E26" s="6" t="s">
        <v>264</v>
      </c>
      <c r="F26" s="10" t="s">
        <v>51</v>
      </c>
      <c r="G26" s="6" t="s">
        <v>52</v>
      </c>
      <c r="H26" s="8" t="s">
        <v>24</v>
      </c>
      <c r="I26" s="13" t="s">
        <v>265</v>
      </c>
      <c r="J26" s="6" t="s">
        <v>266</v>
      </c>
      <c r="K26" s="6" t="s">
        <v>267</v>
      </c>
      <c r="L26" s="6" t="s">
        <v>79</v>
      </c>
      <c r="M26" s="6" t="s">
        <v>191</v>
      </c>
      <c r="N26" s="6" t="s">
        <v>268</v>
      </c>
      <c r="O26" s="6" t="s">
        <v>269</v>
      </c>
      <c r="P26" s="6" t="s">
        <v>191</v>
      </c>
    </row>
    <row r="27" customFormat="false" ht="34.5" hidden="false" customHeight="true" outlineLevel="0" collapsed="false">
      <c r="A27" s="5" t="s">
        <v>270</v>
      </c>
      <c r="B27" s="6" t="s">
        <v>250</v>
      </c>
      <c r="C27" s="6" t="s">
        <v>271</v>
      </c>
      <c r="D27" s="6" t="s">
        <v>272</v>
      </c>
      <c r="E27" s="6" t="s">
        <v>273</v>
      </c>
      <c r="F27" s="7" t="s">
        <v>22</v>
      </c>
      <c r="G27" s="6" t="s">
        <v>23</v>
      </c>
      <c r="H27" s="11" t="s">
        <v>133</v>
      </c>
      <c r="I27" s="8" t="s">
        <v>254</v>
      </c>
      <c r="J27" s="6" t="s">
        <v>274</v>
      </c>
      <c r="K27" s="6" t="s">
        <v>275</v>
      </c>
      <c r="L27" s="6" t="s">
        <v>79</v>
      </c>
      <c r="M27" s="6" t="s">
        <v>191</v>
      </c>
      <c r="N27" s="6" t="s">
        <v>276</v>
      </c>
      <c r="O27" s="6" t="s">
        <v>277</v>
      </c>
      <c r="P27" s="6" t="s">
        <v>278</v>
      </c>
    </row>
    <row r="28" customFormat="false" ht="23.25" hidden="false" customHeight="true" outlineLevel="0" collapsed="false">
      <c r="A28" s="5" t="s">
        <v>279</v>
      </c>
      <c r="B28" s="6" t="s">
        <v>250</v>
      </c>
      <c r="C28" s="6" t="s">
        <v>280</v>
      </c>
      <c r="D28" s="6" t="s">
        <v>281</v>
      </c>
      <c r="E28" s="6" t="s">
        <v>282</v>
      </c>
      <c r="F28" s="10" t="s">
        <v>51</v>
      </c>
      <c r="G28" s="6" t="s">
        <v>52</v>
      </c>
      <c r="H28" s="11" t="s">
        <v>133</v>
      </c>
      <c r="I28" s="8" t="s">
        <v>283</v>
      </c>
      <c r="J28" s="6" t="s">
        <v>284</v>
      </c>
      <c r="K28" s="6" t="s">
        <v>285</v>
      </c>
      <c r="L28" s="6" t="s">
        <v>79</v>
      </c>
      <c r="M28" s="6" t="s">
        <v>191</v>
      </c>
      <c r="N28" s="6" t="s">
        <v>286</v>
      </c>
      <c r="O28" s="6" t="s">
        <v>287</v>
      </c>
      <c r="P28" s="6" t="s">
        <v>288</v>
      </c>
    </row>
    <row r="29" customFormat="false" ht="34.5" hidden="false" customHeight="true" outlineLevel="0" collapsed="false">
      <c r="A29" s="5" t="s">
        <v>289</v>
      </c>
      <c r="B29" s="6" t="s">
        <v>250</v>
      </c>
      <c r="C29" s="6" t="s">
        <v>290</v>
      </c>
      <c r="D29" s="6" t="s">
        <v>291</v>
      </c>
      <c r="E29" s="6" t="s">
        <v>292</v>
      </c>
      <c r="F29" s="7" t="s">
        <v>22</v>
      </c>
      <c r="G29" s="6" t="s">
        <v>23</v>
      </c>
      <c r="H29" s="11" t="s">
        <v>133</v>
      </c>
      <c r="I29" s="11" t="s">
        <v>293</v>
      </c>
      <c r="J29" s="6" t="s">
        <v>294</v>
      </c>
      <c r="K29" s="6" t="s">
        <v>295</v>
      </c>
      <c r="L29" s="6" t="s">
        <v>79</v>
      </c>
      <c r="M29" s="6" t="s">
        <v>296</v>
      </c>
      <c r="N29" s="6" t="s">
        <v>297</v>
      </c>
      <c r="O29" s="6" t="s">
        <v>298</v>
      </c>
      <c r="P29" s="6" t="s">
        <v>299</v>
      </c>
    </row>
    <row r="30" customFormat="false" ht="23.25" hidden="false" customHeight="true" outlineLevel="0" collapsed="false">
      <c r="A30" s="5" t="s">
        <v>300</v>
      </c>
      <c r="B30" s="6" t="s">
        <v>250</v>
      </c>
      <c r="C30" s="6" t="s">
        <v>301</v>
      </c>
      <c r="D30" s="6" t="s">
        <v>302</v>
      </c>
      <c r="E30" s="6" t="s">
        <v>303</v>
      </c>
      <c r="F30" s="10" t="s">
        <v>51</v>
      </c>
      <c r="G30" s="6" t="s">
        <v>52</v>
      </c>
      <c r="H30" s="8" t="s">
        <v>24</v>
      </c>
      <c r="I30" s="13" t="s">
        <v>304</v>
      </c>
      <c r="J30" s="6" t="s">
        <v>305</v>
      </c>
      <c r="K30" s="6" t="s">
        <v>306</v>
      </c>
      <c r="L30" s="6" t="s">
        <v>79</v>
      </c>
      <c r="M30" s="6" t="s">
        <v>191</v>
      </c>
      <c r="N30" s="6" t="s">
        <v>307</v>
      </c>
      <c r="O30" s="6" t="s">
        <v>308</v>
      </c>
      <c r="P30" s="6" t="s">
        <v>309</v>
      </c>
    </row>
    <row r="31" customFormat="false" ht="23.25" hidden="false" customHeight="true" outlineLevel="0" collapsed="false">
      <c r="A31" s="5" t="s">
        <v>310</v>
      </c>
      <c r="B31" s="6" t="s">
        <v>250</v>
      </c>
      <c r="C31" s="6" t="s">
        <v>311</v>
      </c>
      <c r="D31" s="6" t="s">
        <v>312</v>
      </c>
      <c r="E31" s="6" t="s">
        <v>313</v>
      </c>
      <c r="F31" s="10" t="s">
        <v>51</v>
      </c>
      <c r="G31" s="6" t="s">
        <v>52</v>
      </c>
      <c r="H31" s="8" t="s">
        <v>24</v>
      </c>
      <c r="I31" s="8" t="s">
        <v>254</v>
      </c>
      <c r="J31" s="6" t="s">
        <v>314</v>
      </c>
      <c r="K31" s="6" t="s">
        <v>315</v>
      </c>
      <c r="L31" s="6" t="s">
        <v>79</v>
      </c>
      <c r="M31" s="6" t="s">
        <v>191</v>
      </c>
      <c r="N31" s="6" t="s">
        <v>316</v>
      </c>
      <c r="O31" s="6" t="s">
        <v>317</v>
      </c>
      <c r="P31" s="6" t="s">
        <v>191</v>
      </c>
    </row>
    <row r="32" customFormat="false" ht="23.25" hidden="false" customHeight="true" outlineLevel="0" collapsed="false">
      <c r="A32" s="5" t="s">
        <v>318</v>
      </c>
      <c r="B32" s="6" t="s">
        <v>250</v>
      </c>
      <c r="C32" s="6" t="s">
        <v>319</v>
      </c>
      <c r="D32" s="6" t="s">
        <v>320</v>
      </c>
      <c r="E32" s="6" t="s">
        <v>321</v>
      </c>
      <c r="F32" s="10" t="s">
        <v>51</v>
      </c>
      <c r="G32" s="6" t="s">
        <v>52</v>
      </c>
      <c r="H32" s="8" t="s">
        <v>24</v>
      </c>
      <c r="I32" s="8" t="s">
        <v>254</v>
      </c>
      <c r="J32" s="6" t="s">
        <v>322</v>
      </c>
      <c r="K32" s="6" t="s">
        <v>323</v>
      </c>
      <c r="L32" s="6" t="s">
        <v>79</v>
      </c>
      <c r="M32" s="6" t="s">
        <v>191</v>
      </c>
      <c r="N32" s="6" t="s">
        <v>324</v>
      </c>
      <c r="O32" s="6" t="s">
        <v>325</v>
      </c>
      <c r="P32" s="6" t="s">
        <v>326</v>
      </c>
    </row>
    <row r="33" customFormat="false" ht="23.25" hidden="false" customHeight="true" outlineLevel="0" collapsed="false">
      <c r="A33" s="5" t="s">
        <v>327</v>
      </c>
      <c r="B33" s="6" t="s">
        <v>328</v>
      </c>
      <c r="C33" s="6" t="s">
        <v>329</v>
      </c>
      <c r="D33" s="6" t="s">
        <v>330</v>
      </c>
      <c r="E33" s="6" t="s">
        <v>331</v>
      </c>
      <c r="F33" s="9" t="s">
        <v>37</v>
      </c>
      <c r="G33" s="6" t="s">
        <v>52</v>
      </c>
      <c r="H33" s="8" t="s">
        <v>24</v>
      </c>
      <c r="I33" s="8" t="s">
        <v>332</v>
      </c>
      <c r="J33" s="6" t="s">
        <v>333</v>
      </c>
      <c r="K33" s="6" t="s">
        <v>334</v>
      </c>
      <c r="L33" s="6" t="s">
        <v>56</v>
      </c>
      <c r="M33" s="6" t="s">
        <v>335</v>
      </c>
      <c r="N33" s="6" t="s">
        <v>336</v>
      </c>
      <c r="O33" s="6" t="s">
        <v>337</v>
      </c>
      <c r="P33" s="6" t="s">
        <v>338</v>
      </c>
    </row>
    <row r="34" customFormat="false" ht="23.25" hidden="false" customHeight="true" outlineLevel="0" collapsed="false">
      <c r="A34" s="5" t="s">
        <v>339</v>
      </c>
      <c r="B34" s="6" t="s">
        <v>328</v>
      </c>
      <c r="C34" s="6" t="s">
        <v>340</v>
      </c>
      <c r="D34" s="6" t="s">
        <v>341</v>
      </c>
      <c r="E34" s="6" t="s">
        <v>342</v>
      </c>
      <c r="F34" s="7" t="s">
        <v>22</v>
      </c>
      <c r="G34" s="6" t="s">
        <v>52</v>
      </c>
      <c r="H34" s="8" t="s">
        <v>24</v>
      </c>
      <c r="I34" s="8" t="s">
        <v>343</v>
      </c>
      <c r="J34" s="6" t="s">
        <v>344</v>
      </c>
      <c r="K34" s="6" t="s">
        <v>345</v>
      </c>
      <c r="L34" s="6" t="s">
        <v>56</v>
      </c>
      <c r="M34" s="6" t="s">
        <v>335</v>
      </c>
      <c r="N34" s="6" t="s">
        <v>346</v>
      </c>
      <c r="O34" s="6" t="s">
        <v>347</v>
      </c>
      <c r="P34" s="6" t="s">
        <v>348</v>
      </c>
    </row>
    <row r="35" customFormat="false" ht="23.25" hidden="false" customHeight="true" outlineLevel="0" collapsed="false">
      <c r="A35" s="5" t="s">
        <v>349</v>
      </c>
      <c r="B35" s="6" t="s">
        <v>328</v>
      </c>
      <c r="C35" s="6" t="s">
        <v>350</v>
      </c>
      <c r="D35" s="6" t="s">
        <v>351</v>
      </c>
      <c r="E35" s="6" t="s">
        <v>352</v>
      </c>
      <c r="F35" s="10" t="s">
        <v>51</v>
      </c>
      <c r="G35" s="6" t="s">
        <v>52</v>
      </c>
      <c r="H35" s="8" t="s">
        <v>24</v>
      </c>
      <c r="I35" s="8" t="s">
        <v>343</v>
      </c>
      <c r="J35" s="6" t="s">
        <v>353</v>
      </c>
      <c r="K35" s="6" t="s">
        <v>354</v>
      </c>
      <c r="L35" s="6" t="s">
        <v>79</v>
      </c>
      <c r="M35" s="6" t="s">
        <v>355</v>
      </c>
      <c r="N35" s="6" t="s">
        <v>356</v>
      </c>
      <c r="O35" s="6" t="s">
        <v>357</v>
      </c>
      <c r="P35" s="6" t="s">
        <v>191</v>
      </c>
    </row>
    <row r="36" customFormat="false" ht="23.25" hidden="false" customHeight="true" outlineLevel="0" collapsed="false">
      <c r="A36" s="5" t="s">
        <v>358</v>
      </c>
      <c r="B36" s="6" t="s">
        <v>359</v>
      </c>
      <c r="C36" s="6" t="s">
        <v>360</v>
      </c>
      <c r="D36" s="6" t="s">
        <v>361</v>
      </c>
      <c r="E36" s="6" t="s">
        <v>362</v>
      </c>
      <c r="F36" s="10" t="s">
        <v>51</v>
      </c>
      <c r="G36" s="6" t="s">
        <v>52</v>
      </c>
      <c r="H36" s="12" t="s">
        <v>166</v>
      </c>
      <c r="I36" s="13" t="s">
        <v>363</v>
      </c>
      <c r="J36" s="6" t="s">
        <v>364</v>
      </c>
      <c r="K36" s="6" t="s">
        <v>78</v>
      </c>
      <c r="L36" s="6" t="s">
        <v>79</v>
      </c>
      <c r="M36" s="6" t="s">
        <v>365</v>
      </c>
      <c r="N36" s="6" t="s">
        <v>366</v>
      </c>
      <c r="O36" s="6" t="s">
        <v>367</v>
      </c>
      <c r="P36" s="6" t="s">
        <v>368</v>
      </c>
    </row>
    <row r="37" customFormat="false" ht="23.25" hidden="false" customHeight="true" outlineLevel="0" collapsed="false">
      <c r="A37" s="5" t="s">
        <v>369</v>
      </c>
      <c r="B37" s="6" t="s">
        <v>359</v>
      </c>
      <c r="C37" s="6" t="s">
        <v>370</v>
      </c>
      <c r="D37" s="6" t="s">
        <v>371</v>
      </c>
      <c r="E37" s="6" t="s">
        <v>372</v>
      </c>
      <c r="F37" s="7" t="s">
        <v>22</v>
      </c>
      <c r="G37" s="6" t="s">
        <v>23</v>
      </c>
      <c r="H37" s="12" t="s">
        <v>166</v>
      </c>
      <c r="I37" s="13" t="s">
        <v>363</v>
      </c>
      <c r="J37" s="6" t="s">
        <v>373</v>
      </c>
      <c r="K37" s="6" t="s">
        <v>374</v>
      </c>
      <c r="L37" s="6" t="s">
        <v>79</v>
      </c>
      <c r="M37" s="6" t="s">
        <v>375</v>
      </c>
      <c r="N37" s="6" t="s">
        <v>366</v>
      </c>
      <c r="O37" s="6" t="s">
        <v>376</v>
      </c>
      <c r="P37" s="6" t="s">
        <v>377</v>
      </c>
    </row>
    <row r="38" customFormat="false" ht="23.25" hidden="false" customHeight="true" outlineLevel="0" collapsed="false">
      <c r="A38" s="5" t="s">
        <v>378</v>
      </c>
      <c r="B38" s="6" t="s">
        <v>379</v>
      </c>
      <c r="C38" s="6" t="s">
        <v>380</v>
      </c>
      <c r="D38" s="6" t="s">
        <v>381</v>
      </c>
      <c r="E38" s="6" t="s">
        <v>382</v>
      </c>
      <c r="F38" s="7" t="s">
        <v>22</v>
      </c>
      <c r="G38" s="6" t="s">
        <v>52</v>
      </c>
      <c r="H38" s="12" t="s">
        <v>166</v>
      </c>
      <c r="I38" s="13" t="s">
        <v>383</v>
      </c>
      <c r="J38" s="6" t="s">
        <v>384</v>
      </c>
      <c r="K38" s="6" t="s">
        <v>78</v>
      </c>
      <c r="L38" s="6" t="s">
        <v>79</v>
      </c>
      <c r="M38" s="6" t="s">
        <v>385</v>
      </c>
      <c r="N38" s="6" t="s">
        <v>386</v>
      </c>
      <c r="O38" s="6" t="s">
        <v>387</v>
      </c>
      <c r="P38" s="6" t="s">
        <v>388</v>
      </c>
    </row>
    <row r="39" customFormat="false" ht="23.25" hidden="false" customHeight="true" outlineLevel="0" collapsed="false">
      <c r="A39" s="5" t="s">
        <v>389</v>
      </c>
      <c r="B39" s="6" t="s">
        <v>390</v>
      </c>
      <c r="C39" s="6" t="s">
        <v>391</v>
      </c>
      <c r="D39" s="6" t="s">
        <v>392</v>
      </c>
      <c r="E39" s="6" t="s">
        <v>393</v>
      </c>
      <c r="F39" s="10" t="s">
        <v>51</v>
      </c>
      <c r="G39" s="6" t="s">
        <v>23</v>
      </c>
      <c r="H39" s="12" t="s">
        <v>166</v>
      </c>
      <c r="I39" s="13" t="s">
        <v>394</v>
      </c>
      <c r="J39" s="6" t="s">
        <v>395</v>
      </c>
      <c r="K39" s="6" t="s">
        <v>396</v>
      </c>
      <c r="L39" s="6" t="s">
        <v>79</v>
      </c>
      <c r="M39" s="6" t="s">
        <v>191</v>
      </c>
      <c r="N39" s="6" t="s">
        <v>366</v>
      </c>
      <c r="O39" s="6" t="s">
        <v>397</v>
      </c>
      <c r="P39" s="6" t="s">
        <v>398</v>
      </c>
    </row>
    <row r="40" customFormat="false" ht="45.75" hidden="false" customHeight="true" outlineLevel="0" collapsed="false">
      <c r="A40" s="5" t="s">
        <v>399</v>
      </c>
      <c r="B40" s="6" t="s">
        <v>206</v>
      </c>
      <c r="C40" s="6" t="s">
        <v>400</v>
      </c>
      <c r="D40" s="6" t="s">
        <v>401</v>
      </c>
      <c r="E40" s="6" t="s">
        <v>402</v>
      </c>
      <c r="F40" s="7" t="s">
        <v>22</v>
      </c>
      <c r="G40" s="6" t="s">
        <v>52</v>
      </c>
      <c r="H40" s="8" t="s">
        <v>24</v>
      </c>
      <c r="I40" s="8" t="s">
        <v>53</v>
      </c>
      <c r="J40" s="6" t="s">
        <v>403</v>
      </c>
      <c r="K40" s="6" t="s">
        <v>404</v>
      </c>
      <c r="L40" s="6" t="s">
        <v>92</v>
      </c>
      <c r="M40" s="6" t="s">
        <v>405</v>
      </c>
      <c r="N40" s="6" t="s">
        <v>406</v>
      </c>
      <c r="O40" s="6" t="s">
        <v>407</v>
      </c>
      <c r="P40" s="6" t="s">
        <v>408</v>
      </c>
    </row>
  </sheetData>
  <autoFilter ref="A4:P40"/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2026-10-19T21:40:53Z</dcterms:created>
  <dc:creator>openpyxl</dc:creator>
  <dc:description/>
  <dc:language>en-US</dc:language>
  <cp:lastModifiedBy/>
  <dcterms:modified xsi:type="dcterms:W3CDTF">2026-10-23T19:37:46Z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